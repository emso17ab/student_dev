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enne_projektmappe" defaultThemeVersion="164011"/>
  <mc:AlternateContent xmlns:mc="http://schemas.openxmlformats.org/markup-compatibility/2006">
    <mc:Choice Requires="x15">
      <x15ac:absPath xmlns:x15ac="http://schemas.microsoft.com/office/spreadsheetml/2010/11/ac" url="C:\Users\emso98\Desktop\"/>
    </mc:Choice>
  </mc:AlternateContent>
  <bookViews>
    <workbookView xWindow="0" yWindow="0" windowWidth="28800" windowHeight="14235"/>
  </bookViews>
  <sheets>
    <sheet name="Home" sheetId="1" r:id="rId1"/>
    <sheet name="be_data" sheetId="2" state="hidden" r:id="rId2"/>
    <sheet name="updating..." sheetId="4" state="hidden" r:id="rId3"/>
  </sheets>
  <definedNames>
    <definedName name="eMail_att">Tabel1[[#Headers],[p]]</definedName>
    <definedName name="eMail_date">Home!$H$5</definedName>
    <definedName name="eMail_id">Tabel1[[#Headers],[id]]</definedName>
    <definedName name="eMail_recp">#REF!</definedName>
    <definedName name="eMail_repl">#REF!</definedName>
    <definedName name="eMail_sender">Tabel1[[#Headers],[Afsender]]</definedName>
    <definedName name="eMail_subject">Home!$D$5</definedName>
    <definedName name="eMail_text">Home!#REF!</definedName>
    <definedName name="eMail_unread">Tabel1[[#Headers],[Status]]</definedName>
    <definedName name="first_line_be.accdb" localSheetId="1" hidden="1">be_data!#REF!</definedName>
    <definedName name="Forespørgsel_fra_MS_Access_Database" localSheetId="1" hidden="1">be_data!$D$1:$F$20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1" i="1" l="1"/>
  <c r="I11" i="1"/>
  <c r="J11" i="1" s="1"/>
  <c r="F10" i="1"/>
  <c r="I10" i="1"/>
  <c r="J10" i="1" s="1"/>
  <c r="F9" i="1"/>
  <c r="I9" i="1"/>
  <c r="J9" i="1" s="1"/>
  <c r="F8" i="1"/>
  <c r="I8" i="1"/>
  <c r="J8" i="1" s="1"/>
  <c r="F7" i="1"/>
  <c r="I7" i="1"/>
  <c r="J7" i="1" s="1"/>
  <c r="F6" i="1"/>
  <c r="I6" i="1"/>
  <c r="J6" i="1" s="1"/>
</calcChain>
</file>

<file path=xl/connections.xml><?xml version="1.0" encoding="utf-8"?>
<connections xmlns="http://schemas.openxmlformats.org/spreadsheetml/2006/main">
  <connection id="1" name="Forespørgsel fra MS Access Database" type="1" refreshedVersion="6" background="1" saveData="1">
    <dbPr connection="DSN=MS Access Database;DBQ=Q:\23.2 Danmark\05 Mæglerservice\1. linje Team\Udvikling\app_outlook\first_line.accdb;DefaultDir=Q:\23.2 Danmark\05 Mæglerservice\1. linje Team\Udvikling\app_outlook;DriverId=25;FIL=MS Access;MaxBufferSize=2048;PageTimeout=5;" command="SELECT workdist.Entry_id, workdist.agent, workdist.Id_x000d__x000a_FROM workdist workdist"/>
  </connection>
</connections>
</file>

<file path=xl/sharedStrings.xml><?xml version="1.0" encoding="utf-8"?>
<sst xmlns="http://schemas.openxmlformats.org/spreadsheetml/2006/main" count="81" uniqueCount="50">
  <si>
    <t>Emne</t>
  </si>
  <si>
    <t>Afsender</t>
  </si>
  <si>
    <t>Dato</t>
  </si>
  <si>
    <t>id</t>
  </si>
  <si>
    <t>VS: Panthaverdeklaration - CG19982</t>
  </si>
  <si>
    <t>info@bastaforsikring.dk</t>
  </si>
  <si>
    <t>Status</t>
  </si>
  <si>
    <t>Læst</t>
  </si>
  <si>
    <t>HASTER          VS: Digitalpost : Vigtigt! Er dit køretøj forsikret? (1950416)</t>
  </si>
  <si>
    <t>Lone Hyllehøj</t>
  </si>
  <si>
    <t>VS: Ændringer - Salling Efterskole - p.t. uden begæring</t>
  </si>
  <si>
    <t>Rukiye Ari</t>
  </si>
  <si>
    <t>00000000C73D4CC965E0794397B54CF06A4D9F2B07006F8047D9F0EB1C4C9903965687E5315600000000010C00006F8047D9F0EB1C4C9903965687E5315600005C0393910000</t>
  </si>
  <si>
    <t>00000000C73D4CC965E0794397B54CF06A4D9F2B07006F8047D9F0EB1C4C9903965687E5315600000000010C00006F8047D9F0EB1C4C9903965687E5315600005C0393940000</t>
  </si>
  <si>
    <t>Ansvarlig</t>
  </si>
  <si>
    <t>emso98</t>
  </si>
  <si>
    <t>username</t>
  </si>
  <si>
    <t>name</t>
  </si>
  <si>
    <t>userid</t>
  </si>
  <si>
    <t>emsk99</t>
  </si>
  <si>
    <t>krso99</t>
  </si>
  <si>
    <t>Emilie</t>
  </si>
  <si>
    <t>Emil</t>
  </si>
  <si>
    <t>Kristian</t>
  </si>
  <si>
    <t>ibmo99</t>
  </si>
  <si>
    <t>Ibrahim</t>
  </si>
  <si>
    <t>ming99</t>
  </si>
  <si>
    <t>Michelle</t>
  </si>
  <si>
    <t>Bil og maskiner udenlands Busser og Vognmænd</t>
  </si>
  <si>
    <t>Hanne Wagner</t>
  </si>
  <si>
    <t>00000000C73D4CC965E0794397B54CF06A4D9F2B07006F8047D9F0EB1C4C9903965687E5315600000000010C00006F8047D9F0EB1C4C9903965687E5315600005C0393A50000</t>
  </si>
  <si>
    <t>00000000C73D4CC965E0794397B54CF06A4D9F2B07006F8047D9F0EB1C4C9903965687E5315600000000010C00006F8047D9F0EB1C4C9903965687E5315600005C0393A70000</t>
  </si>
  <si>
    <t>VS: HASTER: Klosterbageriet A/S, cvr.  21796298</t>
  </si>
  <si>
    <t>Jakob Juul-Olsen</t>
  </si>
  <si>
    <t>00000000C73D4CC965E0794397B54CF06A4D9F2B07006F8047D9F0EB1C4C9903965687E5315600000000010C00006F8047D9F0EB1C4C9903965687E5315600005C0393A60000</t>
  </si>
  <si>
    <t>VS: Motorkøretøj mangler forsikring</t>
  </si>
  <si>
    <t>00000000C73D4CC965E0794397B54CF06A4D9F2B07006F8047D9F0EB1C4C9903965687E5315600000000010C00006F8047D9F0EB1C4C9903965687E5315600005C0393A90000</t>
  </si>
  <si>
    <t>Entry_id</t>
  </si>
  <si>
    <t>agent</t>
  </si>
  <si>
    <t>Id</t>
  </si>
  <si>
    <t>hej</t>
  </si>
  <si>
    <t>np</t>
  </si>
  <si>
    <t/>
  </si>
  <si>
    <t>00000000C73D4CC965E0794397B54CF06A4D9F2B07006F8047D9F0EB1C4C9903965687E5315600000000010C00006F8047D9F0EB1C4C9903965687E5315600005C0393AB0000</t>
  </si>
  <si>
    <t>00000000C73D4CC965E0794397B54CF06A4D9F2B07006F8047D9F0EB1C4C9903965687E5315600000000010C00006F8047D9F0EB1C4C9903965687E5315600005C0393AC0000</t>
  </si>
  <si>
    <t>00000000C73D4CC965E0794397B54CF06A4D9F2B07006F8047D9F0EB1C4C9903965687E5315600000000010C00006F8047D9F0EB1C4C9903965687E5315600005C0393AD0000</t>
  </si>
  <si>
    <t>00000000C73D4CC965E0794397B54CF06A4D9F2B07006F8047D9F0EB1C4C9903965687E5315600000000010C00006F8047D9F0EB1C4C9903965687E5315600005C0393AE0000</t>
  </si>
  <si>
    <t>p</t>
  </si>
  <si>
    <t>00000000C73D4CC965E0794397B54CF06A4D9F2B07006F8047D9F0EB1C4C9903965687E5315600000000010C00006F8047D9F0EB1C4C9903965687E5315600005C0393AF0000</t>
  </si>
  <si>
    <t>Please wait, while updating . . 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</si>
</sst>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1"/>
      <name val="Ebrima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Fill="1"/>
    <xf numFmtId="0" fontId="0" fillId="0" borderId="0" xfId="0" applyFill="1" applyAlignment="1">
      <alignment vertical="center"/>
    </xf>
    <xf numFmtId="0" fontId="0" fillId="2" borderId="0" xfId="0" applyFill="1"/>
    <xf numFmtId="22" fontId="1" fillId="0" borderId="0" xfId="0" applyNumberFormat="1" applyFont="1" applyFill="1" applyAlignment="1">
      <alignment horizontal="left" vertical="center" indent="1"/>
    </xf>
    <xf numFmtId="0" fontId="1" fillId="0" borderId="0" xfId="0" applyFont="1" applyFill="1" applyAlignment="1">
      <alignment horizontal="left" vertical="center" indent="1"/>
    </xf>
    <xf numFmtId="0" fontId="2" fillId="0" borderId="0" xfId="0" applyFont="1"/>
    <xf numFmtId="22" fontId="3" fillId="0" borderId="0" xfId="0" applyNumberFormat="1" applyFont="1" applyFill="1" applyAlignment="1">
      <alignment horizontal="left" vertical="center" indent="1"/>
    </xf>
    <xf numFmtId="0" fontId="3" fillId="0" borderId="0" xfId="0" applyFont="1" applyFill="1" applyAlignment="1">
      <alignment horizontal="left" vertical="center" indent="1"/>
    </xf>
    <xf numFmtId="0" fontId="3" fillId="0" borderId="0" xfId="0" applyNumberFormat="1" applyFont="1" applyFill="1" applyAlignment="1">
      <alignment horizontal="left" vertical="center" indent="1"/>
    </xf>
  </cellXfs>
  <cellStyles count="1">
    <cellStyle name="Normal" xfId="0" builtinId="0"/>
  </cellStyles>
  <dxfs count="12">
    <dxf>
      <font>
        <b/>
        <i val="0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relativeIndent="1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7" formatCode="dd/mm/yyyy\ hh:mm"/>
      <fill>
        <patternFill patternType="none">
          <fgColor indexed="64"/>
          <bgColor auto="1"/>
        </patternFill>
      </fill>
      <alignment horizontal="left" vertical="center" textRotation="0" wrapText="0" relativeIndent="1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7" formatCode="dd/mm/yyyy\ hh:mm"/>
      <fill>
        <patternFill patternType="none">
          <fgColor indexed="64"/>
          <bgColor auto="1"/>
        </patternFill>
      </fill>
      <alignment horizontal="left" vertical="center" textRotation="0" wrapText="0" relativeIndent="1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relativeIndent="1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relativeIndent="1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relativeIndent="1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relativeIndent="1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relativeIndent="1" justifyLastLine="0" shrinkToFit="0" readingOrder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colors>
    <mruColors>
      <color rgb="FF455660"/>
      <color rgb="FF2B6CA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238125</xdr:colOff>
          <xdr:row>3</xdr:row>
          <xdr:rowOff>171450</xdr:rowOff>
        </xdr:from>
        <xdr:to>
          <xdr:col>22</xdr:col>
          <xdr:colOff>381000</xdr:colOff>
          <xdr:row>20</xdr:row>
          <xdr:rowOff>209550</xdr:rowOff>
        </xdr:to>
        <xdr:sp macro="" textlink="">
          <xdr:nvSpPr>
            <xdr:cNvPr id="1032" name="Preview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66675</xdr:colOff>
      <xdr:row>1</xdr:row>
      <xdr:rowOff>104775</xdr:rowOff>
    </xdr:from>
    <xdr:to>
      <xdr:col>2</xdr:col>
      <xdr:colOff>1247775</xdr:colOff>
      <xdr:row>3</xdr:row>
      <xdr:rowOff>95250</xdr:rowOff>
    </xdr:to>
    <xdr:sp macro="[0]!Refresh_proc" textlink="">
      <xdr:nvSpPr>
        <xdr:cNvPr id="2" name="Afrundet rektangel 1"/>
        <xdr:cNvSpPr/>
      </xdr:nvSpPr>
      <xdr:spPr>
        <a:xfrm>
          <a:off x="209550" y="295275"/>
          <a:ext cx="1181100" cy="371475"/>
        </a:xfrm>
        <a:prstGeom prst="roundRect">
          <a:avLst/>
        </a:prstGeom>
        <a:solidFill>
          <a:schemeClr val="accent1">
            <a:lumMod val="5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a-DK" sz="1100" b="0" i="0" u="none">
              <a:latin typeface="Arial" panose="020B0604020202020204" pitchFamily="34" charset="0"/>
              <a:ea typeface="Ebrima" panose="02000000000000000000" pitchFamily="2" charset="0"/>
              <a:cs typeface="Arial" panose="020B0604020202020204" pitchFamily="34" charset="0"/>
            </a:rPr>
            <a:t>Refresh</a:t>
          </a:r>
        </a:p>
      </xdr:txBody>
    </xdr:sp>
    <xdr:clientData/>
  </xdr:twoCellAnchor>
  <xdr:twoCellAnchor>
    <xdr:from>
      <xdr:col>14</xdr:col>
      <xdr:colOff>450850</xdr:colOff>
      <xdr:row>1</xdr:row>
      <xdr:rowOff>61913</xdr:rowOff>
    </xdr:from>
    <xdr:to>
      <xdr:col>16</xdr:col>
      <xdr:colOff>450850</xdr:colOff>
      <xdr:row>3</xdr:row>
      <xdr:rowOff>52388</xdr:rowOff>
    </xdr:to>
    <xdr:sp macro="[0]!replyEmail" textlink="">
      <xdr:nvSpPr>
        <xdr:cNvPr id="10" name="Afrundet rektangel 9"/>
        <xdr:cNvSpPr/>
      </xdr:nvSpPr>
      <xdr:spPr>
        <a:xfrm>
          <a:off x="12900025" y="252413"/>
          <a:ext cx="1181100" cy="371475"/>
        </a:xfrm>
        <a:prstGeom prst="roundRect">
          <a:avLst/>
        </a:prstGeom>
        <a:solidFill>
          <a:schemeClr val="tx2">
            <a:lumMod val="75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a-DK" sz="1100" b="0" i="0" u="none">
              <a:solidFill>
                <a:schemeClr val="bg1"/>
              </a:solidFill>
              <a:latin typeface="Arial" panose="020B0604020202020204" pitchFamily="34" charset="0"/>
              <a:ea typeface="Ebrima" panose="02000000000000000000" pitchFamily="2" charset="0"/>
              <a:cs typeface="Arial" panose="020B0604020202020204" pitchFamily="34" charset="0"/>
            </a:rPr>
            <a:t>Svar</a:t>
          </a:r>
        </a:p>
      </xdr:txBody>
    </xdr:sp>
    <xdr:clientData/>
  </xdr:twoCellAnchor>
  <xdr:twoCellAnchor>
    <xdr:from>
      <xdr:col>16</xdr:col>
      <xdr:colOff>542925</xdr:colOff>
      <xdr:row>1</xdr:row>
      <xdr:rowOff>61913</xdr:rowOff>
    </xdr:from>
    <xdr:to>
      <xdr:col>18</xdr:col>
      <xdr:colOff>542925</xdr:colOff>
      <xdr:row>3</xdr:row>
      <xdr:rowOff>52388</xdr:rowOff>
    </xdr:to>
    <xdr:sp macro="[0]!ArchiveMessage" textlink="">
      <xdr:nvSpPr>
        <xdr:cNvPr id="13" name="Afrundet rektangel 12"/>
        <xdr:cNvSpPr/>
      </xdr:nvSpPr>
      <xdr:spPr>
        <a:xfrm>
          <a:off x="14173200" y="252413"/>
          <a:ext cx="1181100" cy="371475"/>
        </a:xfrm>
        <a:prstGeom prst="roundRect">
          <a:avLst/>
        </a:prstGeom>
        <a:solidFill>
          <a:schemeClr val="tx2">
            <a:lumMod val="75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a-DK" sz="1100" b="0" i="0" u="none">
              <a:solidFill>
                <a:schemeClr val="bg1"/>
              </a:solidFill>
              <a:latin typeface="Arial" panose="020B0604020202020204" pitchFamily="34" charset="0"/>
              <a:ea typeface="Ebrima" panose="02000000000000000000" pitchFamily="2" charset="0"/>
              <a:cs typeface="Arial" panose="020B0604020202020204" pitchFamily="34" charset="0"/>
            </a:rPr>
            <a:t>Arkiver</a:t>
          </a:r>
        </a:p>
      </xdr:txBody>
    </xdr:sp>
    <xdr:clientData/>
  </xdr:twoCellAnchor>
  <xdr:twoCellAnchor>
    <xdr:from>
      <xdr:col>10</xdr:col>
      <xdr:colOff>266700</xdr:colOff>
      <xdr:row>1</xdr:row>
      <xdr:rowOff>61913</xdr:rowOff>
    </xdr:from>
    <xdr:to>
      <xdr:col>12</xdr:col>
      <xdr:colOff>266700</xdr:colOff>
      <xdr:row>3</xdr:row>
      <xdr:rowOff>52388</xdr:rowOff>
    </xdr:to>
    <xdr:sp macro="[0]!assignMe" textlink="">
      <xdr:nvSpPr>
        <xdr:cNvPr id="14" name="Afrundet rektangel 13"/>
        <xdr:cNvSpPr/>
      </xdr:nvSpPr>
      <xdr:spPr>
        <a:xfrm>
          <a:off x="10353675" y="252413"/>
          <a:ext cx="1181100" cy="371475"/>
        </a:xfrm>
        <a:prstGeom prst="roundRect">
          <a:avLst/>
        </a:prstGeom>
        <a:solidFill>
          <a:schemeClr val="accent6">
            <a:lumMod val="75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a-DK" sz="1100" b="0" i="0" u="none">
              <a:solidFill>
                <a:schemeClr val="bg1"/>
              </a:solidFill>
              <a:latin typeface="Arial" panose="020B0604020202020204" pitchFamily="34" charset="0"/>
              <a:ea typeface="Ebrima" panose="02000000000000000000" pitchFamily="2" charset="0"/>
              <a:cs typeface="Arial" panose="020B0604020202020204" pitchFamily="34" charset="0"/>
            </a:rPr>
            <a:t>Tildel mig</a:t>
          </a:r>
        </a:p>
      </xdr:txBody>
    </xdr:sp>
    <xdr:clientData/>
  </xdr:twoCellAnchor>
  <xdr:twoCellAnchor>
    <xdr:from>
      <xdr:col>12</xdr:col>
      <xdr:colOff>358775</xdr:colOff>
      <xdr:row>1</xdr:row>
      <xdr:rowOff>61913</xdr:rowOff>
    </xdr:from>
    <xdr:to>
      <xdr:col>14</xdr:col>
      <xdr:colOff>358775</xdr:colOff>
      <xdr:row>3</xdr:row>
      <xdr:rowOff>52388</xdr:rowOff>
    </xdr:to>
    <xdr:sp macro="[0]!ViewEmail" textlink="">
      <xdr:nvSpPr>
        <xdr:cNvPr id="15" name="Afrundet rektangel 14"/>
        <xdr:cNvSpPr/>
      </xdr:nvSpPr>
      <xdr:spPr>
        <a:xfrm>
          <a:off x="11626850" y="252413"/>
          <a:ext cx="1181100" cy="371475"/>
        </a:xfrm>
        <a:prstGeom prst="roundRect">
          <a:avLst/>
        </a:prstGeom>
        <a:solidFill>
          <a:schemeClr val="tx2">
            <a:lumMod val="75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a-DK" sz="1100" b="0" i="0" u="none">
              <a:solidFill>
                <a:schemeClr val="bg1"/>
              </a:solidFill>
              <a:latin typeface="Arial" panose="020B0604020202020204" pitchFamily="34" charset="0"/>
              <a:ea typeface="Ebrima" panose="02000000000000000000" pitchFamily="2" charset="0"/>
              <a:cs typeface="Arial" panose="020B0604020202020204" pitchFamily="34" charset="0"/>
            </a:rPr>
            <a:t>Åbn i Outlook</a:t>
          </a:r>
        </a:p>
      </xdr:txBody>
    </xdr:sp>
    <xdr:clientData/>
  </xdr:twoCellAnchor>
  <xdr:oneCellAnchor>
    <xdr:from>
      <xdr:col>3</xdr:col>
      <xdr:colOff>581025</xdr:colOff>
      <xdr:row>0</xdr:row>
      <xdr:rowOff>38100</xdr:rowOff>
    </xdr:from>
    <xdr:ext cx="5070875" cy="671018"/>
    <xdr:sp macro="" textlink="">
      <xdr:nvSpPr>
        <xdr:cNvPr id="3" name="Tekstfelt 2"/>
        <xdr:cNvSpPr txBox="1"/>
      </xdr:nvSpPr>
      <xdr:spPr>
        <a:xfrm>
          <a:off x="2486025" y="38100"/>
          <a:ext cx="5070875" cy="6710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a-DK" sz="3200" b="1">
              <a:solidFill>
                <a:srgbClr val="455660"/>
              </a:solidFill>
              <a:latin typeface="Arial Black" panose="020B0A04020102020204" pitchFamily="34" charset="0"/>
              <a:cs typeface="Arial" panose="020B0604020202020204" pitchFamily="34" charset="0"/>
            </a:rPr>
            <a:t>Outlook INCEPTION @</a:t>
          </a:r>
        </a:p>
      </xdr:txBody>
    </xdr:sp>
    <xdr:clientData/>
  </xdr:oneCellAnchor>
  <xdr:twoCellAnchor editAs="oneCell">
    <xdr:from>
      <xdr:col>6</xdr:col>
      <xdr:colOff>257176</xdr:colOff>
      <xdr:row>1</xdr:row>
      <xdr:rowOff>19051</xdr:rowOff>
    </xdr:from>
    <xdr:to>
      <xdr:col>9</xdr:col>
      <xdr:colOff>266701</xdr:colOff>
      <xdr:row>3</xdr:row>
      <xdr:rowOff>7263</xdr:rowOff>
    </xdr:to>
    <xdr:pic>
      <xdr:nvPicPr>
        <xdr:cNvPr id="17" name="Billede 16" descr="Billedresultat for protector forsikrin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8370" b="38710"/>
        <a:stretch/>
      </xdr:blipFill>
      <xdr:spPr bwMode="auto">
        <a:xfrm>
          <a:off x="7496176" y="209551"/>
          <a:ext cx="1619250" cy="36921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name="Forespørgsel fra MS Access Database" connectionId="1" autoFormatId="16" applyNumberFormats="0" applyBorderFormats="0" applyFontFormats="0" applyPatternFormats="0" applyAlignmentFormats="0" applyWidthHeightFormats="0">
  <queryTableRefresh nextId="4">
    <queryTableFields count="3">
      <queryTableField id="1" name="Entry_id" tableColumnId="1"/>
      <queryTableField id="2" name="agent" tableColumnId="2"/>
      <queryTableField id="3" name="Id" tableColumnId="3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abel1" displayName="Tabel1" ref="B5:J11" totalsRowShown="0" headerRowDxfId="11" dataDxfId="10">
  <autoFilter ref="B5:J11"/>
  <tableColumns count="9">
    <tableColumn id="5" name="id" dataDxfId="9"/>
    <tableColumn id="7" name="Afsender" dataDxfId="8"/>
    <tableColumn id="3" name="Emne" dataDxfId="7"/>
    <tableColumn id="8" name="Status" dataDxfId="6"/>
    <tableColumn id="12" name="Læst" dataDxfId="5">
      <calculatedColumnFormula>IF(Tabel1[[#This Row],[Status]],"Ulæst","Læst")</calculatedColumnFormula>
    </tableColumn>
    <tableColumn id="9" name="p" dataDxfId="4"/>
    <tableColumn id="4" name="Dato" dataDxfId="3"/>
    <tableColumn id="2" name="userid" dataDxfId="2">
      <calculatedColumnFormula>IFERROR(VLOOKUP(Tabel1[[#This Row],[id]],first_line[],2,FALSE),"")</calculatedColumnFormula>
    </tableColumn>
    <tableColumn id="1" name="Ansvarlig" dataDxfId="1">
      <calculatedColumnFormula>IFERROR(VLOOKUP(Tabel1[[#This Row],[userid]],localusers[],2,FALSE),"")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2" name="localusers" displayName="localusers" ref="A1:B6" totalsRowShown="0">
  <autoFilter ref="A1:B6"/>
  <tableColumns count="2">
    <tableColumn id="1" name="username"/>
    <tableColumn id="2" name="name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id="4" name="first_line" displayName="first_line" ref="D1:F20" tableType="queryTable" totalsRowShown="0">
  <autoFilter ref="D1:F20"/>
  <tableColumns count="3">
    <tableColumn id="1" uniqueName="1" name="Entry_id" queryTableFieldId="1"/>
    <tableColumn id="2" uniqueName="2" name="agent" queryTableFieldId="2"/>
    <tableColumn id="3" uniqueName="3" name="Id" queryTableField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-tema">
  <a:themeElements>
    <a:clrScheme name="Kont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ontor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ont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1"/>
  <dimension ref="B5:J52"/>
  <sheetViews>
    <sheetView showGridLines="0" tabSelected="1" workbookViewId="0">
      <selection activeCell="J14" sqref="J14"/>
    </sheetView>
  </sheetViews>
  <sheetFormatPr defaultColWidth="8.85546875" defaultRowHeight="15" x14ac:dyDescent="0.25"/>
  <cols>
    <col min="1" max="1" width="2.140625" style="1" customWidth="1"/>
    <col min="2" max="2" width="149.42578125" style="1" hidden="1" customWidth="1"/>
    <col min="3" max="3" width="26.42578125" style="1" customWidth="1"/>
    <col min="4" max="4" width="69.28515625" style="1" customWidth="1"/>
    <col min="5" max="5" width="8.42578125" style="1" hidden="1" customWidth="1"/>
    <col min="6" max="6" width="10.7109375" style="1" customWidth="1"/>
    <col min="7" max="7" width="6.5703125" style="1" customWidth="1"/>
    <col min="8" max="8" width="17.5703125" style="1" customWidth="1"/>
    <col min="9" max="9" width="17.7109375" style="1" hidden="1" customWidth="1"/>
    <col min="10" max="10" width="18.5703125" style="1" customWidth="1"/>
    <col min="11" max="16384" width="8.85546875" style="1"/>
  </cols>
  <sheetData>
    <row r="5" spans="2:10" ht="35.25" customHeight="1" x14ac:dyDescent="0.25">
      <c r="B5" s="1" t="s">
        <v>3</v>
      </c>
      <c r="C5" s="5" t="s">
        <v>1</v>
      </c>
      <c r="D5" s="5" t="s">
        <v>0</v>
      </c>
      <c r="E5" s="5" t="s">
        <v>6</v>
      </c>
      <c r="F5" s="5" t="s">
        <v>7</v>
      </c>
      <c r="G5" s="5" t="s">
        <v>47</v>
      </c>
      <c r="H5" s="4" t="s">
        <v>2</v>
      </c>
      <c r="I5" s="4" t="s">
        <v>18</v>
      </c>
      <c r="J5" s="5" t="s">
        <v>14</v>
      </c>
    </row>
    <row r="6" spans="2:10" ht="35.25" customHeight="1" x14ac:dyDescent="0.25">
      <c r="B6" s="2" t="s">
        <v>36</v>
      </c>
      <c r="C6" s="8" t="s">
        <v>9</v>
      </c>
      <c r="D6" s="8" t="s">
        <v>35</v>
      </c>
      <c r="E6" s="8" t="b">
        <v>0</v>
      </c>
      <c r="F6" s="9" t="str">
        <f>IF(Tabel1[[#This Row],[Status]],"Ulæst","Læst")</f>
        <v>Læst</v>
      </c>
      <c r="G6" s="8">
        <v>1</v>
      </c>
      <c r="H6" s="7">
        <v>43549.646585648145</v>
      </c>
      <c r="I6" s="7" t="str">
        <f>IFERROR(VLOOKUP(Tabel1[[#This Row],[id]],first_line[],2,FALSE),"")</f>
        <v>emso98</v>
      </c>
      <c r="J6" s="8" t="str">
        <f>IFERROR(VLOOKUP(Tabel1[[#This Row],[userid]],localusers[],2,FALSE),"")</f>
        <v>Emil</v>
      </c>
    </row>
    <row r="7" spans="2:10" ht="35.25" customHeight="1" x14ac:dyDescent="0.25">
      <c r="B7" s="2" t="s">
        <v>48</v>
      </c>
      <c r="C7" s="8" t="s">
        <v>33</v>
      </c>
      <c r="D7" s="8" t="s">
        <v>32</v>
      </c>
      <c r="E7" s="8" t="b">
        <v>0</v>
      </c>
      <c r="F7" s="9" t="str">
        <f>IF(Tabel1[[#This Row],[Status]],"Ulæst","Læst")</f>
        <v>Læst</v>
      </c>
      <c r="G7" s="8">
        <v>2</v>
      </c>
      <c r="H7" s="7">
        <v>43549.602129629631</v>
      </c>
      <c r="I7" s="7" t="str">
        <f>IFERROR(VLOOKUP(Tabel1[[#This Row],[id]],first_line[],2,FALSE),"")</f>
        <v>emso98</v>
      </c>
      <c r="J7" s="9" t="str">
        <f>IFERROR(VLOOKUP(Tabel1[[#This Row],[userid]],localusers[],2,FALSE),"")</f>
        <v>Emil</v>
      </c>
    </row>
    <row r="8" spans="2:10" ht="35.25" customHeight="1" x14ac:dyDescent="0.25">
      <c r="B8" s="2" t="s">
        <v>30</v>
      </c>
      <c r="C8" s="8" t="s">
        <v>29</v>
      </c>
      <c r="D8" s="8" t="s">
        <v>28</v>
      </c>
      <c r="E8" s="8" t="b">
        <v>0</v>
      </c>
      <c r="F8" s="9" t="str">
        <f>IF(Tabel1[[#This Row],[Status]],"Ulæst","Læst")</f>
        <v>Læst</v>
      </c>
      <c r="G8" s="8">
        <v>1</v>
      </c>
      <c r="H8" s="7">
        <v>43549.488506944443</v>
      </c>
      <c r="I8" s="7" t="str">
        <f>IFERROR(VLOOKUP(Tabel1[[#This Row],[id]],first_line[],2,FALSE),"")</f>
        <v>emso98</v>
      </c>
      <c r="J8" s="9" t="str">
        <f>IFERROR(VLOOKUP(Tabel1[[#This Row],[userid]],localusers[],2,FALSE),"")</f>
        <v>Emil</v>
      </c>
    </row>
    <row r="9" spans="2:10" ht="35.25" customHeight="1" x14ac:dyDescent="0.25">
      <c r="B9" s="2" t="s">
        <v>43</v>
      </c>
      <c r="C9" s="8" t="s">
        <v>9</v>
      </c>
      <c r="D9" s="8" t="s">
        <v>8</v>
      </c>
      <c r="E9" s="8" t="b">
        <v>0</v>
      </c>
      <c r="F9" s="9" t="str">
        <f>IF(Tabel1[[#This Row],[Status]],"Ulæst","Læst")</f>
        <v>Læst</v>
      </c>
      <c r="G9" s="8">
        <v>2</v>
      </c>
      <c r="H9" s="7">
        <v>43545.573923611111</v>
      </c>
      <c r="I9" s="7" t="str">
        <f>IFERROR(VLOOKUP(Tabel1[[#This Row],[id]],first_line[],2,FALSE),"")</f>
        <v>emso98</v>
      </c>
      <c r="J9" s="9" t="str">
        <f>IFERROR(VLOOKUP(Tabel1[[#This Row],[userid]],localusers[],2,FALSE),"")</f>
        <v>Emil</v>
      </c>
    </row>
    <row r="10" spans="2:10" ht="35.25" customHeight="1" x14ac:dyDescent="0.25">
      <c r="B10" s="2" t="s">
        <v>44</v>
      </c>
      <c r="C10" s="8" t="s">
        <v>11</v>
      </c>
      <c r="D10" s="8" t="s">
        <v>10</v>
      </c>
      <c r="E10" s="8" t="b">
        <v>0</v>
      </c>
      <c r="F10" s="9" t="str">
        <f>IF(Tabel1[[#This Row],[Status]],"Ulæst","Læst")</f>
        <v>Læst</v>
      </c>
      <c r="G10" s="8">
        <v>1</v>
      </c>
      <c r="H10" s="7">
        <v>43545.502152777779</v>
      </c>
      <c r="I10" s="7" t="str">
        <f>IFERROR(VLOOKUP(Tabel1[[#This Row],[id]],first_line[],2,FALSE),"")</f>
        <v>emso98</v>
      </c>
      <c r="J10" s="9" t="str">
        <f>IFERROR(VLOOKUP(Tabel1[[#This Row],[userid]],localusers[],2,FALSE),"")</f>
        <v>Emil</v>
      </c>
    </row>
    <row r="11" spans="2:10" ht="35.25" customHeight="1" x14ac:dyDescent="0.25">
      <c r="B11" s="2" t="s">
        <v>46</v>
      </c>
      <c r="C11" s="8" t="s">
        <v>5</v>
      </c>
      <c r="D11" s="8" t="s">
        <v>4</v>
      </c>
      <c r="E11" s="8" t="b">
        <v>0</v>
      </c>
      <c r="F11" s="9" t="str">
        <f>IF(Tabel1[[#This Row],[Status]],"Ulæst","Læst")</f>
        <v>Læst</v>
      </c>
      <c r="G11" s="8">
        <v>1</v>
      </c>
      <c r="H11" s="7">
        <v>43541.745451388888</v>
      </c>
      <c r="I11" s="7" t="str">
        <f>IFERROR(VLOOKUP(Tabel1[[#This Row],[id]],first_line[],2,FALSE),"")</f>
        <v/>
      </c>
      <c r="J11" s="9" t="str">
        <f>IFERROR(VLOOKUP(Tabel1[[#This Row],[userid]],localusers[],2,FALSE),"")</f>
        <v/>
      </c>
    </row>
    <row r="12" spans="2:10" ht="35.25" customHeight="1" x14ac:dyDescent="0.25"/>
    <row r="13" spans="2:10" ht="35.25" customHeight="1" x14ac:dyDescent="0.25"/>
    <row r="14" spans="2:10" ht="35.25" customHeight="1" x14ac:dyDescent="0.25">
      <c r="B14" s="3"/>
      <c r="C14" s="3"/>
      <c r="D14" s="3"/>
      <c r="E14" s="3"/>
      <c r="F14" s="3"/>
      <c r="G14" s="3"/>
      <c r="H14" s="3"/>
      <c r="I14" s="3"/>
      <c r="J14" s="3"/>
    </row>
    <row r="15" spans="2:10" ht="35.25" customHeight="1" x14ac:dyDescent="0.25"/>
    <row r="16" spans="2:10" ht="35.25" customHeight="1" x14ac:dyDescent="0.25"/>
    <row r="17" ht="35.25" customHeight="1" x14ac:dyDescent="0.25"/>
    <row r="18" ht="35.25" customHeight="1" x14ac:dyDescent="0.25"/>
    <row r="19" ht="35.25" customHeight="1" x14ac:dyDescent="0.25"/>
    <row r="20" ht="35.25" customHeight="1" x14ac:dyDescent="0.25"/>
    <row r="21" ht="35.25" customHeight="1" x14ac:dyDescent="0.25"/>
    <row r="22" ht="35.25" customHeight="1" x14ac:dyDescent="0.25"/>
    <row r="23" ht="35.25" customHeight="1" x14ac:dyDescent="0.25"/>
    <row r="24" ht="35.25" customHeight="1" x14ac:dyDescent="0.25"/>
    <row r="25" ht="35.25" customHeight="1" x14ac:dyDescent="0.25"/>
    <row r="26" ht="35.25" customHeight="1" x14ac:dyDescent="0.25"/>
    <row r="27" ht="35.25" customHeight="1" x14ac:dyDescent="0.25"/>
    <row r="28" ht="35.25" customHeight="1" x14ac:dyDescent="0.25"/>
    <row r="29" ht="35.25" customHeight="1" x14ac:dyDescent="0.25"/>
    <row r="30" ht="35.25" customHeight="1" x14ac:dyDescent="0.25"/>
    <row r="31" ht="35.25" customHeight="1" x14ac:dyDescent="0.25"/>
    <row r="32" ht="35.25" customHeight="1" x14ac:dyDescent="0.25"/>
    <row r="33" ht="35.25" customHeight="1" x14ac:dyDescent="0.25"/>
    <row r="34" ht="35.25" customHeight="1" x14ac:dyDescent="0.25"/>
    <row r="35" ht="35.25" customHeight="1" x14ac:dyDescent="0.25"/>
    <row r="36" ht="35.25" customHeight="1" x14ac:dyDescent="0.25"/>
    <row r="37" ht="35.25" customHeight="1" x14ac:dyDescent="0.25"/>
    <row r="38" ht="35.25" customHeight="1" x14ac:dyDescent="0.25"/>
    <row r="39" ht="35.25" customHeight="1" x14ac:dyDescent="0.25"/>
    <row r="40" ht="35.25" customHeight="1" x14ac:dyDescent="0.25"/>
    <row r="41" ht="35.25" customHeight="1" x14ac:dyDescent="0.25"/>
    <row r="42" ht="35.25" customHeight="1" x14ac:dyDescent="0.25"/>
    <row r="43" ht="35.25" customHeight="1" x14ac:dyDescent="0.25"/>
    <row r="44" ht="35.25" customHeight="1" x14ac:dyDescent="0.25"/>
    <row r="45" ht="35.25" customHeight="1" x14ac:dyDescent="0.25"/>
    <row r="46" ht="35.25" customHeight="1" x14ac:dyDescent="0.25"/>
    <row r="47" ht="35.25" customHeight="1" x14ac:dyDescent="0.25"/>
    <row r="48" ht="35.25" customHeight="1" x14ac:dyDescent="0.25"/>
    <row r="49" ht="35.25" customHeight="1" x14ac:dyDescent="0.25"/>
    <row r="50" ht="35.25" customHeight="1" x14ac:dyDescent="0.25"/>
    <row r="51" ht="35.25" customHeight="1" x14ac:dyDescent="0.25"/>
    <row r="52" ht="35.25" customHeight="1" x14ac:dyDescent="0.25"/>
  </sheetData>
  <conditionalFormatting sqref="B6:I11">
    <cfRule type="expression" dxfId="0" priority="77">
      <formula>$F6="Ulæst"</formula>
    </cfRule>
  </conditionalFormatting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32" r:id="rId4" name="Preview">
          <controlPr defaultSize="0" autoLine="0" r:id="rId5">
            <anchor moveWithCells="1">
              <from>
                <xdr:col>10</xdr:col>
                <xdr:colOff>238125</xdr:colOff>
                <xdr:row>3</xdr:row>
                <xdr:rowOff>171450</xdr:rowOff>
              </from>
              <to>
                <xdr:col>22</xdr:col>
                <xdr:colOff>381000</xdr:colOff>
                <xdr:row>20</xdr:row>
                <xdr:rowOff>209550</xdr:rowOff>
              </to>
            </anchor>
          </controlPr>
        </control>
      </mc:Choice>
      <mc:Fallback>
        <control shapeId="1032" r:id="rId4" name="Preview"/>
      </mc:Fallback>
    </mc:AlternateContent>
  </controls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59" id="{45F5D9F2-9FE2-4D13-8751-C55BE1FA2552}">
            <x14:iconSet custom="1">
              <x14:cfvo type="percent">
                <xm:f>0</xm:f>
              </x14:cfvo>
              <x14:cfvo type="num" gte="0">
                <xm:f>0</xm:f>
              </x14:cfvo>
              <x14:cfvo type="num">
                <xm:f>2</xm:f>
              </x14:cfvo>
              <x14:cfIcon iconSet="4TrafficLights" iconId="0"/>
              <x14:cfIcon iconSet="3TrafficLights1" iconId="2"/>
              <x14:cfIcon iconSet="3TrafficLights1" iconId="0"/>
            </x14:iconSet>
          </x14:cfRule>
          <xm:sqref>G6:G11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"/>
  <dimension ref="A1:F20"/>
  <sheetViews>
    <sheetView workbookViewId="0">
      <selection activeCell="D19" sqref="D19"/>
    </sheetView>
  </sheetViews>
  <sheetFormatPr defaultRowHeight="15" x14ac:dyDescent="0.25"/>
  <cols>
    <col min="1" max="1" width="12.140625" bestFit="1" customWidth="1"/>
    <col min="2" max="2" width="13.7109375" bestFit="1" customWidth="1"/>
    <col min="3" max="3" width="3.5703125" customWidth="1"/>
    <col min="4" max="4" width="81.140625" bestFit="1" customWidth="1"/>
    <col min="5" max="5" width="8.28515625" bestFit="1" customWidth="1"/>
    <col min="6" max="6" width="5" bestFit="1" customWidth="1"/>
  </cols>
  <sheetData>
    <row r="1" spans="1:6" x14ac:dyDescent="0.25">
      <c r="A1" t="s">
        <v>16</v>
      </c>
      <c r="B1" t="s">
        <v>17</v>
      </c>
      <c r="D1" t="s">
        <v>37</v>
      </c>
      <c r="E1" t="s">
        <v>38</v>
      </c>
      <c r="F1" t="s">
        <v>39</v>
      </c>
    </row>
    <row r="2" spans="1:6" x14ac:dyDescent="0.25">
      <c r="A2" t="s">
        <v>15</v>
      </c>
      <c r="B2" t="s">
        <v>22</v>
      </c>
      <c r="D2" t="s">
        <v>40</v>
      </c>
      <c r="E2" t="s">
        <v>41</v>
      </c>
      <c r="F2">
        <v>1</v>
      </c>
    </row>
    <row r="3" spans="1:6" x14ac:dyDescent="0.25">
      <c r="A3" t="s">
        <v>19</v>
      </c>
      <c r="B3" t="s">
        <v>21</v>
      </c>
      <c r="D3" t="s">
        <v>40</v>
      </c>
      <c r="E3" t="s">
        <v>41</v>
      </c>
      <c r="F3">
        <v>2</v>
      </c>
    </row>
    <row r="4" spans="1:6" x14ac:dyDescent="0.25">
      <c r="A4" t="s">
        <v>20</v>
      </c>
      <c r="B4" t="s">
        <v>23</v>
      </c>
      <c r="D4" t="s">
        <v>40</v>
      </c>
      <c r="E4" t="s">
        <v>41</v>
      </c>
      <c r="F4">
        <v>3</v>
      </c>
    </row>
    <row r="5" spans="1:6" x14ac:dyDescent="0.25">
      <c r="A5" t="s">
        <v>24</v>
      </c>
      <c r="B5" t="s">
        <v>25</v>
      </c>
      <c r="D5" t="s">
        <v>40</v>
      </c>
      <c r="E5" t="s">
        <v>41</v>
      </c>
      <c r="F5">
        <v>4</v>
      </c>
    </row>
    <row r="6" spans="1:6" x14ac:dyDescent="0.25">
      <c r="A6" t="s">
        <v>26</v>
      </c>
      <c r="B6" t="s">
        <v>27</v>
      </c>
      <c r="D6" t="s">
        <v>40</v>
      </c>
      <c r="E6" t="s">
        <v>41</v>
      </c>
      <c r="F6">
        <v>5</v>
      </c>
    </row>
    <row r="7" spans="1:6" x14ac:dyDescent="0.25">
      <c r="D7" t="s">
        <v>40</v>
      </c>
      <c r="E7" t="s">
        <v>41</v>
      </c>
      <c r="F7">
        <v>6</v>
      </c>
    </row>
    <row r="8" spans="1:6" x14ac:dyDescent="0.25">
      <c r="D8" t="s">
        <v>40</v>
      </c>
      <c r="E8" t="s">
        <v>41</v>
      </c>
      <c r="F8">
        <v>7</v>
      </c>
    </row>
    <row r="9" spans="1:6" x14ac:dyDescent="0.25">
      <c r="D9" t="s">
        <v>42</v>
      </c>
      <c r="E9" t="s">
        <v>15</v>
      </c>
      <c r="F9">
        <v>8</v>
      </c>
    </row>
    <row r="10" spans="1:6" x14ac:dyDescent="0.25">
      <c r="D10" t="s">
        <v>42</v>
      </c>
      <c r="E10" t="s">
        <v>15</v>
      </c>
      <c r="F10">
        <v>9</v>
      </c>
    </row>
    <row r="11" spans="1:6" x14ac:dyDescent="0.25">
      <c r="D11" t="s">
        <v>34</v>
      </c>
      <c r="E11" t="s">
        <v>15</v>
      </c>
      <c r="F11">
        <v>10</v>
      </c>
    </row>
    <row r="12" spans="1:6" x14ac:dyDescent="0.25">
      <c r="D12" t="s">
        <v>12</v>
      </c>
      <c r="E12" t="s">
        <v>15</v>
      </c>
      <c r="F12">
        <v>11</v>
      </c>
    </row>
    <row r="13" spans="1:6" x14ac:dyDescent="0.25">
      <c r="D13" t="s">
        <v>13</v>
      </c>
      <c r="E13" t="s">
        <v>15</v>
      </c>
      <c r="F13">
        <v>12</v>
      </c>
    </row>
    <row r="14" spans="1:6" x14ac:dyDescent="0.25">
      <c r="D14" t="s">
        <v>43</v>
      </c>
      <c r="E14" t="s">
        <v>15</v>
      </c>
      <c r="F14">
        <v>13</v>
      </c>
    </row>
    <row r="15" spans="1:6" x14ac:dyDescent="0.25">
      <c r="D15" t="s">
        <v>36</v>
      </c>
      <c r="E15" t="s">
        <v>15</v>
      </c>
      <c r="F15">
        <v>14</v>
      </c>
    </row>
    <row r="16" spans="1:6" x14ac:dyDescent="0.25">
      <c r="D16" t="s">
        <v>30</v>
      </c>
      <c r="E16" t="s">
        <v>15</v>
      </c>
      <c r="F16">
        <v>15</v>
      </c>
    </row>
    <row r="17" spans="4:6" x14ac:dyDescent="0.25">
      <c r="D17" t="s">
        <v>31</v>
      </c>
      <c r="E17" t="s">
        <v>15</v>
      </c>
      <c r="F17">
        <v>16</v>
      </c>
    </row>
    <row r="18" spans="4:6" x14ac:dyDescent="0.25">
      <c r="D18" t="s">
        <v>48</v>
      </c>
      <c r="E18" t="s">
        <v>15</v>
      </c>
      <c r="F18">
        <v>17</v>
      </c>
    </row>
    <row r="19" spans="4:6" x14ac:dyDescent="0.25">
      <c r="D19" t="s">
        <v>44</v>
      </c>
      <c r="E19" t="s">
        <v>15</v>
      </c>
      <c r="F19">
        <v>18</v>
      </c>
    </row>
    <row r="20" spans="4:6" x14ac:dyDescent="0.25">
      <c r="D20" t="s">
        <v>45</v>
      </c>
      <c r="E20" t="s">
        <v>15</v>
      </c>
      <c r="F20">
        <v>19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/>
  <dimension ref="W21"/>
  <sheetViews>
    <sheetView showGridLines="0" showRowColHeaders="0" topLeftCell="K1" zoomScaleNormal="100" workbookViewId="0">
      <selection activeCell="K1" sqref="K1"/>
    </sheetView>
  </sheetViews>
  <sheetFormatPr defaultRowHeight="15" x14ac:dyDescent="0.25"/>
  <sheetData>
    <row r="21" spans="23:23" ht="20.25" x14ac:dyDescent="0.35">
      <c r="W21" s="6" t="s">
        <v>49</v>
      </c>
    </row>
  </sheetData>
  <sheetProtection sheet="1" objects="1" scenarios="1" selectLockedCells="1" selectUnlockedCells="1"/>
  <pageMargins left="0.7" right="0.7" top="0.75" bottom="0.75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EB98143-1CD8-4F4A-A02F-2DFA83492E8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3</vt:i4>
      </vt:variant>
      <vt:variant>
        <vt:lpstr>Navngivne områder</vt:lpstr>
      </vt:variant>
      <vt:variant>
        <vt:i4>6</vt:i4>
      </vt:variant>
    </vt:vector>
  </HeadingPairs>
  <TitlesOfParts>
    <vt:vector size="9" baseType="lpstr">
      <vt:lpstr>Home</vt:lpstr>
      <vt:lpstr>be_data</vt:lpstr>
      <vt:lpstr>updating...</vt:lpstr>
      <vt:lpstr>eMail_att</vt:lpstr>
      <vt:lpstr>eMail_date</vt:lpstr>
      <vt:lpstr>eMail_id</vt:lpstr>
      <vt:lpstr>eMail_sender</vt:lpstr>
      <vt:lpstr>eMail_subject</vt:lpstr>
      <vt:lpstr>eMail_unread</vt:lpstr>
    </vt:vector>
  </TitlesOfParts>
  <Company>Protector Forsikring ASA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Emil Sørensen</dc:creator>
  <cp:lastModifiedBy>Emil Sørensen</cp:lastModifiedBy>
  <dcterms:created xsi:type="dcterms:W3CDTF">2019-03-21T15:31:11Z</dcterms:created>
  <dcterms:modified xsi:type="dcterms:W3CDTF">2019-03-25T16:54:26Z</dcterms:modified>
</cp:coreProperties>
</file>